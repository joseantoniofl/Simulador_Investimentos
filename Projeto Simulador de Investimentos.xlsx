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é Antonio\Desktop\"/>
    </mc:Choice>
  </mc:AlternateContent>
  <xr:revisionPtr revIDLastSave="0" documentId="13_ncr:1_{4855C10D-00A5-4694-AF9C-CE47BBC64F8E}" xr6:coauthVersionLast="47" xr6:coauthVersionMax="47" xr10:uidLastSave="{00000000-0000-0000-0000-000000000000}"/>
  <bookViews>
    <workbookView xWindow="-120" yWindow="-120" windowWidth="29040" windowHeight="15720" xr2:uid="{38F50F04-59E6-4027-9D27-D9F235D064D8}"/>
  </bookViews>
  <sheets>
    <sheet name="Planilha1" sheetId="1" r:id="rId1"/>
    <sheet name="Planilha2" sheetId="2" r:id="rId2"/>
  </sheets>
  <definedNames>
    <definedName name="aporte">Planilha1!$D$16</definedName>
    <definedName name="patrimonio">Planilha1!$D$19</definedName>
    <definedName name="Perfil">Planilha1!$D$28</definedName>
    <definedName name="qtd_anos">Planilha1!$D$17</definedName>
    <definedName name="Rend">Planilha1!$D$12</definedName>
    <definedName name="Salario">Planilha1!$D$11</definedName>
    <definedName name="Sug_Invest">Planilha1!$D$13</definedName>
    <definedName name="taxa_mensal">Planilha1!$D$18</definedName>
    <definedName name="Valor_invest">Planilha1!$D$29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3" i="1" l="1"/>
  <c r="D33" i="1" s="1"/>
  <c r="C34" i="1"/>
  <c r="D34" i="1" s="1"/>
  <c r="C35" i="1"/>
  <c r="D35" i="1" s="1"/>
  <c r="C36" i="1"/>
  <c r="D36" i="1" s="1"/>
  <c r="C37" i="1"/>
  <c r="D37" i="1" s="1"/>
  <c r="C32" i="1"/>
  <c r="D32" i="1" s="1"/>
  <c r="D18" i="1"/>
  <c r="D13" i="1"/>
  <c r="C24" i="1" l="1"/>
  <c r="D24" i="1" s="1"/>
  <c r="C25" i="1"/>
  <c r="D25" i="1" s="1"/>
  <c r="C26" i="1"/>
  <c r="D26" i="1" s="1"/>
  <c r="C23" i="1"/>
  <c r="D23" i="1" s="1"/>
  <c r="D19" i="1"/>
  <c r="D20" i="1" s="1"/>
</calcChain>
</file>

<file path=xl/sharedStrings.xml><?xml version="1.0" encoding="utf-8"?>
<sst xmlns="http://schemas.openxmlformats.org/spreadsheetml/2006/main" count="86" uniqueCount="52">
  <si>
    <t>CONFIGURAÇÕES</t>
  </si>
  <si>
    <t>Salário</t>
  </si>
  <si>
    <t>Rendimento Carteira</t>
  </si>
  <si>
    <t>Sugestão de Investimento</t>
  </si>
  <si>
    <t>INVESTIMENTO MENSAL</t>
  </si>
  <si>
    <t>Quanto investir por mês?</t>
  </si>
  <si>
    <t>Por quantos anos?</t>
  </si>
  <si>
    <t>Taxa de Rendimento Mensal</t>
  </si>
  <si>
    <t>Patrimônio acumulado</t>
  </si>
  <si>
    <t>Dividendos Mensais</t>
  </si>
  <si>
    <t>Cenários</t>
  </si>
  <si>
    <t>Dividendo</t>
  </si>
  <si>
    <t>Quanto em 2 Anos?</t>
  </si>
  <si>
    <t>Quanto em 5 Anos?</t>
  </si>
  <si>
    <t>Quanto em 10 Anos?</t>
  </si>
  <si>
    <t>Quanto em 20 Anos?</t>
  </si>
  <si>
    <t>Moderado</t>
  </si>
  <si>
    <t>Valor a ser investidor por mês</t>
  </si>
  <si>
    <t>Perfil de investidor</t>
  </si>
  <si>
    <t>TIPO DE FII</t>
  </si>
  <si>
    <t>Percentual Sugerido</t>
  </si>
  <si>
    <t>Valores</t>
  </si>
  <si>
    <t>PAPEL</t>
  </si>
  <si>
    <t>TIJOLO</t>
  </si>
  <si>
    <t>HÍBRIDOS</t>
  </si>
  <si>
    <t>FOF's</t>
  </si>
  <si>
    <t>DESENVOLVIMENTO</t>
  </si>
  <si>
    <t>HOTELARIAS</t>
  </si>
  <si>
    <t>CHAVE</t>
  </si>
  <si>
    <t>PERFIL</t>
  </si>
  <si>
    <t>%</t>
  </si>
  <si>
    <t>Conservador-PAPEL</t>
  </si>
  <si>
    <t>Conservador</t>
  </si>
  <si>
    <t>Conservador-TIJOLO</t>
  </si>
  <si>
    <t>Conservador-HÍBRIDOS</t>
  </si>
  <si>
    <t>FOFs</t>
  </si>
  <si>
    <t>Conservador-DESENVOLVIMENTO</t>
  </si>
  <si>
    <t>Conservador-HOTELARIAS</t>
  </si>
  <si>
    <t>Moderado-PAPEL</t>
  </si>
  <si>
    <t>Moderado-TIJOLO</t>
  </si>
  <si>
    <t>Moderado-HÍBRIDOS</t>
  </si>
  <si>
    <t>Moderado-DESENVOLVIMENTO</t>
  </si>
  <si>
    <t>Moderado-HOTELARIAS</t>
  </si>
  <si>
    <t>Agressivo-PAPEL</t>
  </si>
  <si>
    <t>Agressivo</t>
  </si>
  <si>
    <t>Agressivo-TIJOLO</t>
  </si>
  <si>
    <t>Agressivo-HÍBRIDOS</t>
  </si>
  <si>
    <t>Agressivo-DESENVOLVIMENTO</t>
  </si>
  <si>
    <t>Agressivo-HOTELARIAS</t>
  </si>
  <si>
    <t>Moderado-FOF's</t>
  </si>
  <si>
    <t>Con'servador-FOF's</t>
  </si>
  <si>
    <t>Agre's'sivo-FOF's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</si>
</sst>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5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 style="medium">
        <color indexed="64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1" xfId="0" applyBorder="1"/>
    <xf numFmtId="9" fontId="0" fillId="0" borderId="1" xfId="1" applyFont="1" applyBorder="1" applyAlignment="1">
      <alignment horizontal="center" vertical="center"/>
    </xf>
    <xf numFmtId="164" fontId="0" fillId="0" borderId="14" xfId="0" applyNumberFormat="1" applyBorder="1" applyAlignment="1">
      <alignment horizontal="left"/>
    </xf>
    <xf numFmtId="10" fontId="0" fillId="0" borderId="14" xfId="1" applyNumberFormat="1" applyFont="1" applyBorder="1" applyAlignment="1">
      <alignment horizontal="center"/>
    </xf>
    <xf numFmtId="164" fontId="0" fillId="0" borderId="14" xfId="0" applyNumberFormat="1" applyBorder="1" applyAlignment="1">
      <alignment horizontal="left" vertical="center"/>
    </xf>
    <xf numFmtId="1" fontId="0" fillId="0" borderId="14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0" borderId="0" xfId="0" applyFont="1"/>
    <xf numFmtId="164" fontId="0" fillId="0" borderId="17" xfId="0" applyNumberFormat="1" applyBorder="1" applyAlignment="1">
      <alignment horizontal="center" vertical="center"/>
    </xf>
    <xf numFmtId="0" fontId="0" fillId="0" borderId="13" xfId="0" applyBorder="1" applyAlignment="1">
      <alignment horizontal="left" vertical="center" indent="1"/>
    </xf>
    <xf numFmtId="0" fontId="0" fillId="0" borderId="9" xfId="0" applyBorder="1" applyAlignment="1">
      <alignment horizontal="left" vertical="center" indent="1"/>
    </xf>
    <xf numFmtId="0" fontId="0" fillId="3" borderId="15" xfId="0" applyFill="1" applyBorder="1" applyAlignment="1">
      <alignment horizontal="left" vertical="center" indent="1"/>
    </xf>
    <xf numFmtId="0" fontId="0" fillId="3" borderId="16" xfId="0" applyFill="1" applyBorder="1" applyAlignment="1">
      <alignment horizontal="left" vertical="center" indent="1"/>
    </xf>
    <xf numFmtId="164" fontId="0" fillId="3" borderId="17" xfId="0" applyNumberFormat="1" applyFill="1" applyBorder="1" applyAlignment="1">
      <alignment horizontal="left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0" fillId="3" borderId="13" xfId="0" applyFill="1" applyBorder="1" applyAlignment="1">
      <alignment horizontal="left" vertical="center" indent="1"/>
    </xf>
    <xf numFmtId="0" fontId="0" fillId="3" borderId="9" xfId="0" applyFill="1" applyBorder="1" applyAlignment="1">
      <alignment horizontal="left" vertical="center" indent="1"/>
    </xf>
    <xf numFmtId="10" fontId="0" fillId="3" borderId="14" xfId="1" applyNumberFormat="1" applyFont="1" applyFill="1" applyBorder="1" applyAlignment="1">
      <alignment horizontal="center" vertical="center"/>
    </xf>
    <xf numFmtId="164" fontId="0" fillId="3" borderId="14" xfId="0" applyNumberFormat="1" applyFill="1" applyBorder="1" applyAlignment="1">
      <alignment horizontal="left" vertical="center"/>
    </xf>
    <xf numFmtId="164" fontId="0" fillId="3" borderId="17" xfId="0" applyNumberForma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0" fillId="3" borderId="13" xfId="0" applyFill="1" applyBorder="1" applyAlignment="1">
      <alignment horizontal="left" indent="1"/>
    </xf>
    <xf numFmtId="8" fontId="0" fillId="3" borderId="9" xfId="0" applyNumberFormat="1" applyFill="1" applyBorder="1" applyAlignment="1">
      <alignment horizontal="left" vertical="center"/>
    </xf>
    <xf numFmtId="8" fontId="0" fillId="3" borderId="14" xfId="0" applyNumberFormat="1" applyFill="1" applyBorder="1" applyAlignment="1">
      <alignment horizontal="left" vertical="center"/>
    </xf>
    <xf numFmtId="0" fontId="0" fillId="3" borderId="15" xfId="0" applyFill="1" applyBorder="1" applyAlignment="1">
      <alignment horizontal="left" indent="1"/>
    </xf>
    <xf numFmtId="8" fontId="0" fillId="3" borderId="16" xfId="0" applyNumberFormat="1" applyFill="1" applyBorder="1" applyAlignment="1">
      <alignment horizontal="left" vertical="center"/>
    </xf>
    <xf numFmtId="8" fontId="0" fillId="3" borderId="17" xfId="0" applyNumberForma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9" fontId="0" fillId="3" borderId="9" xfId="1" applyFont="1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9" fontId="0" fillId="3" borderId="16" xfId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left" vertical="center" indent="1"/>
    </xf>
    <xf numFmtId="0" fontId="2" fillId="2" borderId="11" xfId="0" applyFont="1" applyFill="1" applyBorder="1" applyAlignment="1">
      <alignment horizontal="left" vertical="center" indent="1"/>
    </xf>
    <xf numFmtId="0" fontId="2" fillId="2" borderId="15" xfId="0" applyFont="1" applyFill="1" applyBorder="1" applyAlignment="1">
      <alignment horizontal="left" indent="1"/>
    </xf>
    <xf numFmtId="0" fontId="2" fillId="2" borderId="16" xfId="0" applyFont="1" applyFill="1" applyBorder="1" applyAlignment="1">
      <alignment horizontal="left" indent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42861</xdr:colOff>
      <xdr:row>1</xdr:row>
      <xdr:rowOff>66674</xdr:rowOff>
    </xdr:from>
    <xdr:to>
      <xdr:col>1</xdr:col>
      <xdr:colOff>1362074</xdr:colOff>
      <xdr:row>6</xdr:row>
      <xdr:rowOff>41274</xdr:rowOff>
    </xdr:to>
    <xdr:pic>
      <xdr:nvPicPr>
        <xdr:cNvPr id="4" name="Imagem 3" descr="Pilhas de moedas de ouro">
          <a:extLst>
            <a:ext uri="{FF2B5EF4-FFF2-40B4-BE49-F238E27FC236}">
              <a16:creationId xmlns:a16="http://schemas.microsoft.com/office/drawing/2014/main" id="{CF96A0E3-4BDE-5944-4886-06E4E73E6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886" y="247649"/>
          <a:ext cx="1319213" cy="879475"/>
        </a:xfrm>
        <a:prstGeom prst="rect">
          <a:avLst/>
        </a:prstGeom>
      </xdr:spPr>
    </xdr:pic>
    <xdr:clientData/>
  </xdr:twoCellAnchor>
  <xdr:oneCellAnchor>
    <xdr:from>
      <xdr:col>1</xdr:col>
      <xdr:colOff>1381125</xdr:colOff>
      <xdr:row>2</xdr:row>
      <xdr:rowOff>159878</xdr:rowOff>
    </xdr:from>
    <xdr:ext cx="3112134" cy="331116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A4E28ED1-CF70-F6CE-7D6E-92A673259B00}"/>
            </a:ext>
          </a:extLst>
        </xdr:cNvPr>
        <xdr:cNvSpPr txBox="1"/>
      </xdr:nvSpPr>
      <xdr:spPr>
        <a:xfrm>
          <a:off x="1581150" y="521828"/>
          <a:ext cx="3112134" cy="3311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400"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SIMULADOR DE INVESTIMENTOS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978CB-BBFC-484D-8641-3F65B5B6F6BE}">
  <dimension ref="A1:D54"/>
  <sheetViews>
    <sheetView showGridLines="0" tabSelected="1" topLeftCell="A12" workbookViewId="0">
      <selection activeCell="B35" sqref="B35"/>
    </sheetView>
  </sheetViews>
  <sheetFormatPr defaultColWidth="0" defaultRowHeight="14.25" x14ac:dyDescent="0.2"/>
  <cols>
    <col min="1" max="1" width="2.625" customWidth="1"/>
    <col min="2" max="2" width="40.625" customWidth="1"/>
    <col min="3" max="3" width="17.625" bestFit="1" customWidth="1"/>
    <col min="4" max="4" width="11.75" bestFit="1" customWidth="1"/>
    <col min="5" max="5" width="2.625" customWidth="1"/>
    <col min="6" max="16384" width="9" hidden="1"/>
  </cols>
  <sheetData>
    <row r="1" spans="2:4" x14ac:dyDescent="0.2">
      <c r="B1" s="36"/>
      <c r="C1" s="37"/>
      <c r="D1" s="38"/>
    </row>
    <row r="2" spans="2:4" x14ac:dyDescent="0.2">
      <c r="B2" s="39"/>
      <c r="C2" s="40"/>
      <c r="D2" s="41"/>
    </row>
    <row r="3" spans="2:4" x14ac:dyDescent="0.2">
      <c r="B3" s="39"/>
      <c r="C3" s="40"/>
      <c r="D3" s="41"/>
    </row>
    <row r="4" spans="2:4" x14ac:dyDescent="0.2">
      <c r="B4" s="39"/>
      <c r="C4" s="40"/>
      <c r="D4" s="41"/>
    </row>
    <row r="5" spans="2:4" x14ac:dyDescent="0.2">
      <c r="B5" s="39"/>
      <c r="C5" s="40"/>
      <c r="D5" s="41"/>
    </row>
    <row r="6" spans="2:4" x14ac:dyDescent="0.2">
      <c r="B6" s="39"/>
      <c r="C6" s="40"/>
      <c r="D6" s="41"/>
    </row>
    <row r="7" spans="2:4" x14ac:dyDescent="0.2">
      <c r="B7" s="39"/>
      <c r="C7" s="40"/>
      <c r="D7" s="41"/>
    </row>
    <row r="8" spans="2:4" ht="15" thickBot="1" x14ac:dyDescent="0.25">
      <c r="B8" s="42"/>
      <c r="C8" s="43"/>
      <c r="D8" s="44"/>
    </row>
    <row r="9" spans="2:4" ht="15" thickBot="1" x14ac:dyDescent="0.25"/>
    <row r="10" spans="2:4" ht="15" x14ac:dyDescent="0.25">
      <c r="B10" s="17" t="s">
        <v>0</v>
      </c>
      <c r="C10" s="18"/>
      <c r="D10" s="19"/>
    </row>
    <row r="11" spans="2:4" x14ac:dyDescent="0.2">
      <c r="B11" s="12" t="s">
        <v>1</v>
      </c>
      <c r="C11" s="13"/>
      <c r="D11" s="5">
        <v>4500</v>
      </c>
    </row>
    <row r="12" spans="2:4" x14ac:dyDescent="0.2">
      <c r="B12" s="12" t="s">
        <v>2</v>
      </c>
      <c r="C12" s="13"/>
      <c r="D12" s="6">
        <v>1.0789999999999999E-2</v>
      </c>
    </row>
    <row r="13" spans="2:4" ht="15" thickBot="1" x14ac:dyDescent="0.25">
      <c r="B13" s="14" t="s">
        <v>3</v>
      </c>
      <c r="C13" s="15"/>
      <c r="D13" s="16">
        <f>Salario*0.3</f>
        <v>1350</v>
      </c>
    </row>
    <row r="14" spans="2:4" ht="15" thickBot="1" x14ac:dyDescent="0.25"/>
    <row r="15" spans="2:4" ht="15" x14ac:dyDescent="0.2">
      <c r="B15" s="25" t="s">
        <v>4</v>
      </c>
      <c r="C15" s="26"/>
      <c r="D15" s="27"/>
    </row>
    <row r="16" spans="2:4" x14ac:dyDescent="0.2">
      <c r="B16" s="12" t="s">
        <v>5</v>
      </c>
      <c r="C16" s="13"/>
      <c r="D16" s="7">
        <v>200</v>
      </c>
    </row>
    <row r="17" spans="1:4" x14ac:dyDescent="0.2">
      <c r="B17" s="12" t="s">
        <v>6</v>
      </c>
      <c r="C17" s="13"/>
      <c r="D17" s="8">
        <v>10</v>
      </c>
    </row>
    <row r="18" spans="1:4" x14ac:dyDescent="0.2">
      <c r="B18" s="20" t="s">
        <v>7</v>
      </c>
      <c r="C18" s="21"/>
      <c r="D18" s="22">
        <f>Rend</f>
        <v>1.0789999999999999E-2</v>
      </c>
    </row>
    <row r="19" spans="1:4" x14ac:dyDescent="0.2">
      <c r="B19" s="20" t="s">
        <v>8</v>
      </c>
      <c r="C19" s="21"/>
      <c r="D19" s="23">
        <f>FV(taxa_mensal,qtd_anos*12,aporte*-1)</f>
        <v>48656.842506034438</v>
      </c>
    </row>
    <row r="20" spans="1:4" ht="15" thickBot="1" x14ac:dyDescent="0.25">
      <c r="B20" s="14" t="s">
        <v>9</v>
      </c>
      <c r="C20" s="15"/>
      <c r="D20" s="24">
        <f>patrimonio*taxa_mensal</f>
        <v>525.0073306401116</v>
      </c>
    </row>
    <row r="21" spans="1:4" ht="15" thickBot="1" x14ac:dyDescent="0.25"/>
    <row r="22" spans="1:4" ht="15" x14ac:dyDescent="0.2">
      <c r="A22" s="10"/>
      <c r="B22" s="25" t="s">
        <v>10</v>
      </c>
      <c r="C22" s="26"/>
      <c r="D22" s="29" t="s">
        <v>11</v>
      </c>
    </row>
    <row r="23" spans="1:4" x14ac:dyDescent="0.2">
      <c r="A23" s="10">
        <v>2</v>
      </c>
      <c r="B23" s="30" t="s">
        <v>12</v>
      </c>
      <c r="C23" s="31">
        <f>FV(taxa_mensal,A23*12,aporte*-1)</f>
        <v>5445.5254595290435</v>
      </c>
      <c r="D23" s="32">
        <f>C23*taxa_mensal</f>
        <v>58.757219708318374</v>
      </c>
    </row>
    <row r="24" spans="1:4" x14ac:dyDescent="0.2">
      <c r="A24" s="10">
        <v>5</v>
      </c>
      <c r="B24" s="30" t="s">
        <v>13</v>
      </c>
      <c r="C24" s="31">
        <f>FV(taxa_mensal,A24*12,aporte*-1)</f>
        <v>16755.382799697527</v>
      </c>
      <c r="D24" s="32">
        <f>C24*taxa_mensal</f>
        <v>180.7905804087363</v>
      </c>
    </row>
    <row r="25" spans="1:4" x14ac:dyDescent="0.2">
      <c r="A25" s="10">
        <v>10</v>
      </c>
      <c r="B25" s="30" t="s">
        <v>14</v>
      </c>
      <c r="C25" s="31">
        <f>FV(taxa_mensal,A25*12,aporte*-1)</f>
        <v>48656.842506034438</v>
      </c>
      <c r="D25" s="32">
        <f>C25*taxa_mensal</f>
        <v>525.0073306401116</v>
      </c>
    </row>
    <row r="26" spans="1:4" ht="15" thickBot="1" x14ac:dyDescent="0.25">
      <c r="A26" s="10">
        <v>20</v>
      </c>
      <c r="B26" s="33" t="s">
        <v>15</v>
      </c>
      <c r="C26" s="34">
        <f>FV(taxa_mensal,A26*12,aporte*-1)</f>
        <v>225039.68001941612</v>
      </c>
      <c r="D26" s="35">
        <f>C26*taxa_mensal</f>
        <v>2428.1781474094996</v>
      </c>
    </row>
    <row r="27" spans="1:4" ht="15" thickBot="1" x14ac:dyDescent="0.25"/>
    <row r="28" spans="1:4" ht="15" x14ac:dyDescent="0.2">
      <c r="B28" s="51" t="s">
        <v>18</v>
      </c>
      <c r="C28" s="52"/>
      <c r="D28" s="9" t="s">
        <v>16</v>
      </c>
    </row>
    <row r="29" spans="1:4" ht="15.75" thickBot="1" x14ac:dyDescent="0.3">
      <c r="B29" s="53" t="s">
        <v>17</v>
      </c>
      <c r="C29" s="54"/>
      <c r="D29" s="11">
        <v>400</v>
      </c>
    </row>
    <row r="30" spans="1:4" ht="15" thickBot="1" x14ac:dyDescent="0.25"/>
    <row r="31" spans="1:4" x14ac:dyDescent="0.2">
      <c r="B31" s="45" t="s">
        <v>19</v>
      </c>
      <c r="C31" s="46" t="s">
        <v>20</v>
      </c>
      <c r="D31" s="28" t="s">
        <v>21</v>
      </c>
    </row>
    <row r="32" spans="1:4" x14ac:dyDescent="0.2">
      <c r="B32" s="47" t="s">
        <v>22</v>
      </c>
      <c r="C32" s="48">
        <f>VLOOKUP(Perfil&amp;"-"&amp;B32,Planilha2!A:D,4,FALSE)</f>
        <v>0.32</v>
      </c>
      <c r="D32" s="23">
        <f>C32*Valor_invest</f>
        <v>128</v>
      </c>
    </row>
    <row r="33" spans="2:4" x14ac:dyDescent="0.2">
      <c r="B33" s="47" t="s">
        <v>23</v>
      </c>
      <c r="C33" s="48">
        <f>VLOOKUP(Perfil&amp;"-"&amp;B33,Planilha2!A:D,4,FALSE)</f>
        <v>0.35</v>
      </c>
      <c r="D33" s="23">
        <f>C33*Valor_invest</f>
        <v>140</v>
      </c>
    </row>
    <row r="34" spans="2:4" x14ac:dyDescent="0.2">
      <c r="B34" s="47" t="s">
        <v>24</v>
      </c>
      <c r="C34" s="48">
        <f>VLOOKUP(Perfil&amp;"-"&amp;B34,Planilha2!A:D,4,FALSE)</f>
        <v>0.08</v>
      </c>
      <c r="D34" s="23">
        <f>C34*Valor_invest</f>
        <v>32</v>
      </c>
    </row>
    <row r="35" spans="2:4" x14ac:dyDescent="0.2">
      <c r="B35" s="47" t="s">
        <v>25</v>
      </c>
      <c r="C35" s="48">
        <f>VLOOKUP(Perfil&amp;"-"&amp;B35,Planilha2!A:D,4,FALSE)</f>
        <v>0.05</v>
      </c>
      <c r="D35" s="23">
        <f>C35*Valor_invest</f>
        <v>20</v>
      </c>
    </row>
    <row r="36" spans="2:4" x14ac:dyDescent="0.2">
      <c r="B36" s="47" t="s">
        <v>26</v>
      </c>
      <c r="C36" s="48">
        <f>VLOOKUP(Perfil&amp;"-"&amp;B36,Planilha2!A:D,4,FALSE)</f>
        <v>0.1</v>
      </c>
      <c r="D36" s="23">
        <f>C36*Valor_invest</f>
        <v>40</v>
      </c>
    </row>
    <row r="37" spans="2:4" ht="15" thickBot="1" x14ac:dyDescent="0.25">
      <c r="B37" s="49" t="s">
        <v>27</v>
      </c>
      <c r="C37" s="50">
        <f>VLOOKUP(Perfil&amp;"-"&amp;B37,Planilha2!A:D,4,FALSE)</f>
        <v>0.1</v>
      </c>
      <c r="D37" s="24">
        <f>C37*Valor_invest</f>
        <v>40</v>
      </c>
    </row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</sheetData>
  <mergeCells count="14">
    <mergeCell ref="B29:C29"/>
    <mergeCell ref="B1:D8"/>
    <mergeCell ref="B17:C17"/>
    <mergeCell ref="B18:C18"/>
    <mergeCell ref="B19:C19"/>
    <mergeCell ref="B20:C20"/>
    <mergeCell ref="B22:C22"/>
    <mergeCell ref="B28:C28"/>
    <mergeCell ref="B10:D10"/>
    <mergeCell ref="B11:C11"/>
    <mergeCell ref="B12:C12"/>
    <mergeCell ref="B13:C13"/>
    <mergeCell ref="B15:D15"/>
    <mergeCell ref="B16:C16"/>
  </mergeCells>
  <dataValidations count="1">
    <dataValidation type="list" allowBlank="1" showInputMessage="1" showErrorMessage="1" sqref="D28" xr:uid="{170B4612-57F2-4EB7-A3ED-77AEC8CFD5CC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CE872-1853-4402-845F-4565B5AB838E}">
  <dimension ref="A2:D20"/>
  <sheetViews>
    <sheetView workbookViewId="0">
      <selection activeCell="A12" sqref="A12"/>
    </sheetView>
  </sheetViews>
  <sheetFormatPr defaultRowHeight="14.25" x14ac:dyDescent="0.2"/>
  <cols>
    <col min="1" max="1" width="30.625" bestFit="1" customWidth="1"/>
    <col min="2" max="2" width="11.375" bestFit="1" customWidth="1"/>
    <col min="3" max="3" width="19.125" bestFit="1" customWidth="1"/>
    <col min="4" max="4" width="4.875" bestFit="1" customWidth="1"/>
  </cols>
  <sheetData>
    <row r="2" spans="1:4" x14ac:dyDescent="0.2">
      <c r="A2" t="s">
        <v>28</v>
      </c>
      <c r="B2" t="s">
        <v>29</v>
      </c>
      <c r="C2" t="s">
        <v>19</v>
      </c>
      <c r="D2" s="1" t="s">
        <v>30</v>
      </c>
    </row>
    <row r="3" spans="1:4" x14ac:dyDescent="0.2">
      <c r="A3" t="s">
        <v>31</v>
      </c>
      <c r="B3" t="s">
        <v>32</v>
      </c>
      <c r="C3" t="s">
        <v>22</v>
      </c>
      <c r="D3" s="2">
        <v>0.3</v>
      </c>
    </row>
    <row r="4" spans="1:4" x14ac:dyDescent="0.2">
      <c r="A4" t="s">
        <v>33</v>
      </c>
      <c r="B4" t="s">
        <v>32</v>
      </c>
      <c r="C4" t="s">
        <v>23</v>
      </c>
      <c r="D4" s="2">
        <v>0.5</v>
      </c>
    </row>
    <row r="5" spans="1:4" x14ac:dyDescent="0.2">
      <c r="A5" t="s">
        <v>34</v>
      </c>
      <c r="B5" t="s">
        <v>32</v>
      </c>
      <c r="C5" t="s">
        <v>24</v>
      </c>
      <c r="D5" s="2">
        <v>0.1</v>
      </c>
    </row>
    <row r="6" spans="1:4" x14ac:dyDescent="0.2">
      <c r="A6" t="s">
        <v>50</v>
      </c>
      <c r="B6" t="s">
        <v>32</v>
      </c>
      <c r="C6" t="s">
        <v>35</v>
      </c>
      <c r="D6" s="2">
        <v>0.1</v>
      </c>
    </row>
    <row r="7" spans="1:4" x14ac:dyDescent="0.2">
      <c r="A7" t="s">
        <v>36</v>
      </c>
      <c r="B7" t="s">
        <v>32</v>
      </c>
      <c r="C7" t="s">
        <v>26</v>
      </c>
      <c r="D7" s="2">
        <v>0</v>
      </c>
    </row>
    <row r="8" spans="1:4" ht="15" thickBot="1" x14ac:dyDescent="0.25">
      <c r="A8" s="3" t="s">
        <v>37</v>
      </c>
      <c r="B8" s="3" t="s">
        <v>32</v>
      </c>
      <c r="C8" s="3" t="s">
        <v>27</v>
      </c>
      <c r="D8" s="4">
        <v>0</v>
      </c>
    </row>
    <row r="9" spans="1:4" x14ac:dyDescent="0.2">
      <c r="A9" t="s">
        <v>38</v>
      </c>
      <c r="B9" t="s">
        <v>16</v>
      </c>
      <c r="C9" t="s">
        <v>22</v>
      </c>
      <c r="D9" s="2">
        <v>0.32</v>
      </c>
    </row>
    <row r="10" spans="1:4" x14ac:dyDescent="0.2">
      <c r="A10" t="s">
        <v>39</v>
      </c>
      <c r="B10" t="s">
        <v>16</v>
      </c>
      <c r="C10" t="s">
        <v>23</v>
      </c>
      <c r="D10" s="2">
        <v>0.35</v>
      </c>
    </row>
    <row r="11" spans="1:4" x14ac:dyDescent="0.2">
      <c r="A11" t="s">
        <v>40</v>
      </c>
      <c r="B11" t="s">
        <v>16</v>
      </c>
      <c r="C11" t="s">
        <v>24</v>
      </c>
      <c r="D11" s="2">
        <v>0.08</v>
      </c>
    </row>
    <row r="12" spans="1:4" x14ac:dyDescent="0.2">
      <c r="A12" t="s">
        <v>49</v>
      </c>
      <c r="B12" t="s">
        <v>16</v>
      </c>
      <c r="C12" t="s">
        <v>35</v>
      </c>
      <c r="D12" s="2">
        <v>0.05</v>
      </c>
    </row>
    <row r="13" spans="1:4" x14ac:dyDescent="0.2">
      <c r="A13" t="s">
        <v>41</v>
      </c>
      <c r="B13" t="s">
        <v>16</v>
      </c>
      <c r="C13" t="s">
        <v>26</v>
      </c>
      <c r="D13" s="2">
        <v>0.1</v>
      </c>
    </row>
    <row r="14" spans="1:4" ht="15" thickBot="1" x14ac:dyDescent="0.25">
      <c r="A14" s="3" t="s">
        <v>42</v>
      </c>
      <c r="B14" s="3" t="s">
        <v>16</v>
      </c>
      <c r="C14" s="3" t="s">
        <v>27</v>
      </c>
      <c r="D14" s="4">
        <v>0.1</v>
      </c>
    </row>
    <row r="15" spans="1:4" x14ac:dyDescent="0.2">
      <c r="A15" t="s">
        <v>43</v>
      </c>
      <c r="B15" t="s">
        <v>44</v>
      </c>
      <c r="C15" t="s">
        <v>22</v>
      </c>
      <c r="D15" s="2">
        <v>0.5</v>
      </c>
    </row>
    <row r="16" spans="1:4" x14ac:dyDescent="0.2">
      <c r="A16" t="s">
        <v>45</v>
      </c>
      <c r="B16" t="s">
        <v>44</v>
      </c>
      <c r="C16" t="s">
        <v>23</v>
      </c>
      <c r="D16" s="2">
        <v>0.1</v>
      </c>
    </row>
    <row r="17" spans="1:4" x14ac:dyDescent="0.2">
      <c r="A17" t="s">
        <v>46</v>
      </c>
      <c r="B17" t="s">
        <v>44</v>
      </c>
      <c r="C17" t="s">
        <v>24</v>
      </c>
      <c r="D17" s="2">
        <v>0.05</v>
      </c>
    </row>
    <row r="18" spans="1:4" x14ac:dyDescent="0.2">
      <c r="A18" t="s">
        <v>51</v>
      </c>
      <c r="B18" t="s">
        <v>44</v>
      </c>
      <c r="C18" t="s">
        <v>35</v>
      </c>
      <c r="D18" s="2">
        <v>0.05</v>
      </c>
    </row>
    <row r="19" spans="1:4" x14ac:dyDescent="0.2">
      <c r="A19" t="s">
        <v>47</v>
      </c>
      <c r="B19" t="s">
        <v>44</v>
      </c>
      <c r="C19" t="s">
        <v>26</v>
      </c>
      <c r="D19" s="2">
        <v>0.2</v>
      </c>
    </row>
    <row r="20" spans="1:4" x14ac:dyDescent="0.2">
      <c r="A20" t="s">
        <v>48</v>
      </c>
      <c r="B20" t="s">
        <v>44</v>
      </c>
      <c r="C20" t="s">
        <v>27</v>
      </c>
      <c r="D20" s="2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9</vt:i4>
      </vt:variant>
    </vt:vector>
  </HeadingPairs>
  <TitlesOfParts>
    <vt:vector size="11" baseType="lpstr">
      <vt:lpstr>Planilha1</vt:lpstr>
      <vt:lpstr>Planilha2</vt:lpstr>
      <vt:lpstr>aporte</vt:lpstr>
      <vt:lpstr>patrimonio</vt:lpstr>
      <vt:lpstr>Perfil</vt:lpstr>
      <vt:lpstr>qtd_anos</vt:lpstr>
      <vt:lpstr>Rend</vt:lpstr>
      <vt:lpstr>Salario</vt:lpstr>
      <vt:lpstr>Sug_Invest</vt:lpstr>
      <vt:lpstr>taxa_mensal</vt:lpstr>
      <vt:lpstr>Valor_invest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José Antonio</cp:lastModifiedBy>
  <dcterms:created xsi:type="dcterms:W3CDTF">2026-09-29T13:17:48Z</dcterms:created>
  <dcterms:modified xsi:type="dcterms:W3CDTF">2026-09-30T14:26:56Z</dcterms:modified>
</cp:coreProperties>
</file>